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Unit Econ" sheetId="3" state="visible" r:id="rId5"/>
    <sheet name="Projection" sheetId="4" state="visible" r:id="rId6"/>
    <sheet name="Sensitivity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<sst xmlns="http://schemas.openxmlformats.org/spreadsheetml/2006/main" count="207" uniqueCount="194">
  <si>
    <t xml:space="preserve">Flipbook — Financial Model</t>
  </si>
  <si>
    <t xml:space="preserve">Version: v1 (July 15, 2026)</t>
  </si>
  <si>
    <t xml:space="preserve">Companion doc: docs/model-math.md</t>
  </si>
  <si>
    <t xml:space="preserve">HOW TO USE</t>
  </si>
  <si>
    <t xml:space="preserve">All INPUT cells are BLUE text with YELLOW highlight. Change those. Everything else is a formula.</t>
  </si>
  <si>
    <t xml:space="preserve">Tabs:</t>
  </si>
  <si>
    <t xml:space="preserve">  Assumptions — inputs. Start here.</t>
  </si>
  <si>
    <t xml:space="preserve">  Unit Econ   — per-rental and per-user math.</t>
  </si>
  <si>
    <t xml:space="preserve">  Projection  — 12-month monthly P&amp;L.</t>
  </si>
  <si>
    <t xml:space="preserve">  Sensitivity — what-if analysis on 6 biggest levers.</t>
  </si>
  <si>
    <t xml:space="preserve">  Scenarios   — Conservative / Base / Stretch side-by-side.</t>
  </si>
  <si>
    <t xml:space="preserve">CURRENCY</t>
  </si>
  <si>
    <t xml:space="preserve">Everything in NGN. USD costs converted at rate on Assumptions tab.</t>
  </si>
  <si>
    <t xml:space="preserve">NGN depreciation is a real Year-1 risk — tune the FX rate if it moves.</t>
  </si>
  <si>
    <t xml:space="preserve">WHAT THIS MODEL SAYS</t>
  </si>
  <si>
    <t xml:space="preserve">  Monthly breakeven at ~2,300 active users, ~135 Pro subscribers.</t>
  </si>
  <si>
    <t xml:space="preserve">  Base case: monthly breakeven around March 2027 (Month 6).</t>
  </si>
  <si>
    <t xml:space="preserve">  Month 12: ~₦1.66M/mo (~$1,100/mo) net contribution at 5,000 active users.</t>
  </si>
  <si>
    <t xml:space="preserve">  Biggest cost: TTS ingestion — consider 25 titles/mo at launch instead of 50.</t>
  </si>
  <si>
    <t xml:space="preserve">  Biggest lever: Pro conversion. Audio reader is what pulls it up.</t>
  </si>
  <si>
    <t xml:space="preserve">HEALTH WARNINGS</t>
  </si>
  <si>
    <t xml:space="preserve">Behavioral assumptions (rentals/user/mo, Pro conversion) are speculative.</t>
  </si>
  <si>
    <t xml:space="preserve">Tune them monthly against actual usage data — no one has data on a Nigerian</t>
  </si>
  <si>
    <t xml:space="preserve">book-rental app because there is not one yet.</t>
  </si>
  <si>
    <t xml:space="preserve">Assumptions</t>
  </si>
  <si>
    <t xml:space="preserve">Yellow cells are the ones to tune. Everything downstream is formulas.</t>
  </si>
  <si>
    <t xml:space="preserve">NGN per USD</t>
  </si>
  <si>
    <t xml:space="preserve">FX rate.</t>
  </si>
  <si>
    <t xml:space="preserve">RENTAL BANDS (LOCKED)</t>
  </si>
  <si>
    <t xml:space="preserve">Band A price</t>
  </si>
  <si>
    <t xml:space="preserve">PD classics — 4-week rental</t>
  </si>
  <si>
    <t xml:space="preserve">Band B price</t>
  </si>
  <si>
    <t xml:space="preserve">Indie standard</t>
  </si>
  <si>
    <t xml:space="preserve">Band C price</t>
  </si>
  <si>
    <t xml:space="preserve">Premium indie / small publisher</t>
  </si>
  <si>
    <t xml:space="preserve">Band D price</t>
  </si>
  <si>
    <t xml:space="preserve">Later — Tier 3 publisher titles</t>
  </si>
  <si>
    <t xml:space="preserve">PRO PRICING</t>
  </si>
  <si>
    <t xml:space="preserve">Pro monthly</t>
  </si>
  <si>
    <t xml:space="preserve">Full monthly rate</t>
  </si>
  <si>
    <t xml:space="preserve">Pro quarterly (mo effective)</t>
  </si>
  <si>
    <t xml:space="preserve">6,000 per quarter</t>
  </si>
  <si>
    <t xml:space="preserve">Pro annual (mo effective)</t>
  </si>
  <si>
    <t xml:space="preserve">18,600 per year — 38% discount vs monthly</t>
  </si>
  <si>
    <t xml:space="preserve">Mix — monthly</t>
  </si>
  <si>
    <t xml:space="preserve">Mix — quarterly</t>
  </si>
  <si>
    <t xml:space="preserve">Mix — annual</t>
  </si>
  <si>
    <t xml:space="preserve">Blended Pro ARPU (mo)</t>
  </si>
  <si>
    <t xml:space="preserve">REVENUE SHARE</t>
  </si>
  <si>
    <t xml:space="preserve">Author share</t>
  </si>
  <si>
    <t xml:space="preserve">Flipbook share</t>
  </si>
  <si>
    <t xml:space="preserve">Pro discount on B/C/D</t>
  </si>
  <si>
    <t xml:space="preserve">READER BEHAVIOR (SPECULATIVE)</t>
  </si>
  <si>
    <t xml:space="preserve">Rentals per Free user per month</t>
  </si>
  <si>
    <t xml:space="preserve">Rentals per Pro user per month</t>
  </si>
  <si>
    <t xml:space="preserve">Free band mix A</t>
  </si>
  <si>
    <t xml:space="preserve">Free band mix B</t>
  </si>
  <si>
    <t xml:space="preserve">Free band mix C</t>
  </si>
  <si>
    <t xml:space="preserve">Blended Free rental price</t>
  </si>
  <si>
    <t xml:space="preserve">Pro band mix B</t>
  </si>
  <si>
    <t xml:space="preserve">Pro band mix C</t>
  </si>
  <si>
    <t xml:space="preserve">Blended Pro rental price after 15% discount</t>
  </si>
  <si>
    <t xml:space="preserve">COSTS</t>
  </si>
  <si>
    <t xml:space="preserve">Payment processing (blended %)</t>
  </si>
  <si>
    <t xml:space="preserve">TTS ingestion cost per title</t>
  </si>
  <si>
    <t xml:space="preserve">New titles ingested per month</t>
  </si>
  <si>
    <t xml:space="preserve">Specials indie flat fees (mo)</t>
  </si>
  <si>
    <t xml:space="preserve">Specials premium narration (mo amortized)</t>
  </si>
  <si>
    <t xml:space="preserve">Payment failure rate</t>
  </si>
  <si>
    <t xml:space="preserve">Unit Economics — Per Rental</t>
  </si>
  <si>
    <t xml:space="preserve">Flipbook contribution per rental, by band and reader type.</t>
  </si>
  <si>
    <t xml:space="preserve">A Free</t>
  </si>
  <si>
    <t xml:space="preserve">A Pro</t>
  </si>
  <si>
    <t xml:space="preserve">B Free</t>
  </si>
  <si>
    <t xml:space="preserve">B Pro</t>
  </si>
  <si>
    <t xml:space="preserve">C Free</t>
  </si>
  <si>
    <t xml:space="preserve">C Pro</t>
  </si>
  <si>
    <t xml:space="preserve">D Free</t>
  </si>
  <si>
    <t xml:space="preserve">D Pro</t>
  </si>
  <si>
    <t xml:space="preserve">List price</t>
  </si>
  <si>
    <t xml:space="preserve">Price paid</t>
  </si>
  <si>
    <t xml:space="preserve">Author cut (70%)</t>
  </si>
  <si>
    <t xml:space="preserve">Flipbook cut (30%)</t>
  </si>
  <si>
    <t xml:space="preserve">Payment fee</t>
  </si>
  <si>
    <t xml:space="preserve">Flipbook net contribution</t>
  </si>
  <si>
    <t xml:space="preserve">Unit Economics — Per User Per Month</t>
  </si>
  <si>
    <t xml:space="preserve">Pro users are ~14x more valuable than Free users. This is the north star.</t>
  </si>
  <si>
    <t xml:space="preserve">Free user</t>
  </si>
  <si>
    <t xml:space="preserve">Pro user</t>
  </si>
  <si>
    <t xml:space="preserve">Subscription revenue</t>
  </si>
  <si>
    <t xml:space="preserve">Rentals per month</t>
  </si>
  <si>
    <t xml:space="preserve">Blended price paid</t>
  </si>
  <si>
    <t xml:space="preserve">Gross rental revenue</t>
  </si>
  <si>
    <t xml:space="preserve">Flipbook 30% of rentals</t>
  </si>
  <si>
    <t xml:space="preserve">Payment fee on revenue</t>
  </si>
  <si>
    <t xml:space="preserve">Net contribution per user per month</t>
  </si>
  <si>
    <t xml:space="preserve">Pro-to-Free value ratio</t>
  </si>
  <si>
    <t xml:space="preserve">12-Month Projection</t>
  </si>
  <si>
    <t xml:space="preserve">Active users and Pro conversion % are tunable inputs. Everything else flows.</t>
  </si>
  <si>
    <t xml:space="preserve">Oct '26</t>
  </si>
  <si>
    <t xml:space="preserve">Nov '26</t>
  </si>
  <si>
    <t xml:space="preserve">Dec '26</t>
  </si>
  <si>
    <t xml:space="preserve">Jan '27</t>
  </si>
  <si>
    <t xml:space="preserve">Feb '27</t>
  </si>
  <si>
    <t xml:space="preserve">Mar '27</t>
  </si>
  <si>
    <t xml:space="preserve">Apr '27</t>
  </si>
  <si>
    <t xml:space="preserve">May '27</t>
  </si>
  <si>
    <t xml:space="preserve">Jun '27</t>
  </si>
  <si>
    <t xml:space="preserve">Jul '27</t>
  </si>
  <si>
    <t xml:space="preserve">Aug '27</t>
  </si>
  <si>
    <t xml:space="preserve">Sep '27</t>
  </si>
  <si>
    <t xml:space="preserve">Total</t>
  </si>
  <si>
    <t xml:space="preserve">USERS</t>
  </si>
  <si>
    <t xml:space="preserve">Active users (input)</t>
  </si>
  <si>
    <t xml:space="preserve">Pro conversion % (input)</t>
  </si>
  <si>
    <t xml:space="preserve">Pro users</t>
  </si>
  <si>
    <t xml:space="preserve">Free users</t>
  </si>
  <si>
    <t xml:space="preserve">REVENUE</t>
  </si>
  <si>
    <t xml:space="preserve">Pro subscription revenue</t>
  </si>
  <si>
    <t xml:space="preserve">Gross rentals (Free)</t>
  </si>
  <si>
    <t xml:space="preserve">Gross rentals (Pro)</t>
  </si>
  <si>
    <t xml:space="preserve">Total gross rentals</t>
  </si>
  <si>
    <t xml:space="preserve">Flipbook rental cut (30%)</t>
  </si>
  <si>
    <t xml:space="preserve">TOTAL FLIPBOOK REVENUE</t>
  </si>
  <si>
    <t xml:space="preserve">Payment processing (2%)</t>
  </si>
  <si>
    <t xml:space="preserve">TTS ingestion</t>
  </si>
  <si>
    <t xml:space="preserve">Specials indie flat fees</t>
  </si>
  <si>
    <t xml:space="preserve">Specials premium narration (amortized)</t>
  </si>
  <si>
    <t xml:space="preserve">Hosting + tools (walks)</t>
  </si>
  <si>
    <t xml:space="preserve">TOTAL COSTS</t>
  </si>
  <si>
    <t xml:space="preserve">CONTRIBUTION</t>
  </si>
  <si>
    <t xml:space="preserve">Monthly net contribution</t>
  </si>
  <si>
    <t xml:space="preserve">Cumulative</t>
  </si>
  <si>
    <t xml:space="preserve">Sensitivity — Levers Ranked by Impact</t>
  </si>
  <si>
    <t xml:space="preserve">Month-12 monthly contribution swing between Low and High for each lever.</t>
  </si>
  <si>
    <t xml:space="preserve">Lever</t>
  </si>
  <si>
    <t xml:space="preserve">Base</t>
  </si>
  <si>
    <t xml:space="preserve">Low</t>
  </si>
  <si>
    <t xml:space="preserve">High</t>
  </si>
  <si>
    <t xml:space="preserve">Delta (Low-&gt;High)</t>
  </si>
  <si>
    <t xml:space="preserve">Notes</t>
  </si>
  <si>
    <t xml:space="preserve">Pro conversion at Month 12</t>
  </si>
  <si>
    <t xml:space="preserve">8%</t>
  </si>
  <si>
    <t xml:space="preserve">3%</t>
  </si>
  <si>
    <t xml:space="preserve">12%</t>
  </si>
  <si>
    <t xml:space="preserve">Biggest lever. Audio reader + Specials most influence.</t>
  </si>
  <si>
    <t xml:space="preserve">0.7</t>
  </si>
  <si>
    <t xml:space="preserve">0.3</t>
  </si>
  <si>
    <t xml:space="preserve">1.2</t>
  </si>
  <si>
    <t xml:space="preserve">Second biggest. Selection quality + discovery UX.</t>
  </si>
  <si>
    <t xml:space="preserve">4</t>
  </si>
  <si>
    <t xml:space="preserve">2</t>
  </si>
  <si>
    <t xml:space="preserve">6</t>
  </si>
  <si>
    <t xml:space="preserve">Pro engagement — habit + catalog depth.</t>
  </si>
  <si>
    <t xml:space="preserve">Active users at Month 12</t>
  </si>
  <si>
    <t xml:space="preserve">5,000</t>
  </si>
  <si>
    <t xml:space="preserve">2,500</t>
  </si>
  <si>
    <t xml:space="preserve">8,000</t>
  </si>
  <si>
    <t xml:space="preserve">Growth. Everything scales on this.</t>
  </si>
  <si>
    <t xml:space="preserve">TTS titles per month</t>
  </si>
  <si>
    <t xml:space="preserve">50</t>
  </si>
  <si>
    <t xml:space="preserve">25</t>
  </si>
  <si>
    <t xml:space="preserve">100</t>
  </si>
  <si>
    <t xml:space="preserve">Cost lever (inverse). More content = more cost.</t>
  </si>
  <si>
    <t xml:space="preserve">5%</t>
  </si>
  <si>
    <t xml:space="preserve">20%</t>
  </si>
  <si>
    <t xml:space="preserve">Good rebill logic recovers half.</t>
  </si>
  <si>
    <t xml:space="preserve">Breakeven Analysis</t>
  </si>
  <si>
    <t xml:space="preserve">Monthly breakeven happens when total revenue = total costs.</t>
  </si>
  <si>
    <t xml:space="preserve">Total monthly cost (fixed + variable at breakeven scale)</t>
  </si>
  <si>
    <t xml:space="preserve">Revenue per Free user per month</t>
  </si>
  <si>
    <t xml:space="preserve">Revenue per Pro user per month</t>
  </si>
  <si>
    <t xml:space="preserve">Assumed Pro conversion for breakeven</t>
  </si>
  <si>
    <t xml:space="preserve">Blended revenue per active user per month</t>
  </si>
  <si>
    <t xml:space="preserve">Active users needed for monthly breakeven</t>
  </si>
  <si>
    <t xml:space="preserve">Pro users needed for monthly breakeven</t>
  </si>
  <si>
    <t xml:space="preserve">Scenarios — Conservative / Base / Stretch</t>
  </si>
  <si>
    <t xml:space="preserve">Three futures at Month 12. Base matches the Projection tab.</t>
  </si>
  <si>
    <t xml:space="preserve">Metric</t>
  </si>
  <si>
    <t xml:space="preserve">Conservative</t>
  </si>
  <si>
    <t xml:space="preserve">Stretch</t>
  </si>
  <si>
    <t xml:space="preserve">Monthly Pro subscription revenue</t>
  </si>
  <si>
    <t xml:space="preserve">Monthly gross rentals</t>
  </si>
  <si>
    <t xml:space="preserve">Monthly Flipbook rental cut</t>
  </si>
  <si>
    <t xml:space="preserve">Monthly TOTAL revenue</t>
  </si>
  <si>
    <t xml:space="preserve">Monthly total costs</t>
  </si>
  <si>
    <t xml:space="preserve">Monthly NET CONTRIBUTION</t>
  </si>
  <si>
    <t xml:space="preserve">Contribution in USD</t>
  </si>
  <si>
    <t xml:space="preserve">Reading the Scenarios</t>
  </si>
  <si>
    <t xml:space="preserve">Conservative: half the users, lowest Pro conversion, sluggish rentals.</t>
  </si>
  <si>
    <t xml:space="preserve">Base: current growth curve on Projection tab.</t>
  </si>
  <si>
    <t xml:space="preserve">Stretch: audio + Specials + community compound.</t>
  </si>
  <si>
    <t xml:space="preserve">If Conservative contribution is positive, we can miss numbers by 50% and survive.</t>
  </si>
  <si>
    <t xml:space="preserve">If Conservative is negative, the model is fragile — tune growth or costs.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</si>
</sst>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₦#,##0;&quot;(₦&quot;#,##0\);\-"/>
    <numFmt numFmtId="167" formatCode="0.0%"/>
    <numFmt numFmtId="168" formatCode="0.00"/>
    <numFmt numFmtId="169" formatCode="0.0\x"/>
    <numFmt numFmtId="170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B3A6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3B3A6D"/>
      <name val="Arial"/>
      <family val="0"/>
      <charset val="1"/>
    </font>
    <font>
      <i val="true"/>
      <sz val="9"/>
      <color rgb="FF6D6D6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3A6D"/>
        <bgColor rgb="FF333333"/>
      </patternFill>
    </fill>
    <fill>
      <patternFill patternType="solid">
        <fgColor rgb="FFFFF2A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D6D"/>
      <rgbColor rgb="FF969696"/>
      <rgbColor rgb="FF003366"/>
      <rgbColor rgb="FF339966"/>
      <rgbColor rgb="FF003300"/>
      <rgbColor rgb="FF333300"/>
      <rgbColor rgb="FF993300"/>
      <rgbColor rgb="FF993366"/>
      <rgbColor rgb="FF3B3A6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4" t="s">
        <v>24</v>
      </c>
      <c r="B1" s="4"/>
      <c r="C1" s="4"/>
      <c r="D1" s="4"/>
    </row>
    <row r="2" customFormat="false" ht="15" hidden="false" customHeight="false" outlineLevel="0" collapsed="false">
      <c r="A2" s="5" t="s">
        <v>25</v>
      </c>
      <c r="B2" s="5"/>
      <c r="C2" s="5"/>
      <c r="D2" s="5"/>
    </row>
    <row r="4" customFormat="false" ht="15" hidden="false" customHeight="false" outlineLevel="0" collapsed="false">
      <c r="A4" s="6" t="s">
        <v>11</v>
      </c>
      <c r="B4" s="6"/>
      <c r="C4" s="6"/>
      <c r="D4" s="6"/>
    </row>
    <row r="5" customFormat="false" ht="15" hidden="false" customHeight="false" outlineLevel="0" collapsed="false">
      <c r="A5" s="2" t="s">
        <v>26</v>
      </c>
      <c r="B5" s="7" t="n">
        <v>1500</v>
      </c>
      <c r="D5" s="8" t="s">
        <v>27</v>
      </c>
    </row>
    <row r="7" customFormat="false" ht="15" hidden="false" customHeight="false" outlineLevel="0" collapsed="false">
      <c r="A7" s="6" t="s">
        <v>28</v>
      </c>
      <c r="B7" s="6"/>
      <c r="C7" s="6"/>
      <c r="D7" s="6"/>
    </row>
    <row r="8" customFormat="false" ht="15" hidden="false" customHeight="false" outlineLevel="0" collapsed="false">
      <c r="A8" s="2" t="s">
        <v>29</v>
      </c>
      <c r="B8" s="9" t="n">
        <v>500</v>
      </c>
      <c r="D8" s="8" t="s">
        <v>30</v>
      </c>
    </row>
    <row r="9" customFormat="false" ht="15" hidden="false" customHeight="false" outlineLevel="0" collapsed="false">
      <c r="A9" s="2" t="s">
        <v>31</v>
      </c>
      <c r="B9" s="9" t="n">
        <v>1500</v>
      </c>
      <c r="D9" s="8" t="s">
        <v>32</v>
      </c>
    </row>
    <row r="10" customFormat="false" ht="15" hidden="false" customHeight="false" outlineLevel="0" collapsed="false">
      <c r="A10" s="2" t="s">
        <v>33</v>
      </c>
      <c r="B10" s="9" t="n">
        <v>2500</v>
      </c>
      <c r="D10" s="8" t="s">
        <v>34</v>
      </c>
    </row>
    <row r="11" customFormat="false" ht="15" hidden="false" customHeight="false" outlineLevel="0" collapsed="false">
      <c r="A11" s="2" t="s">
        <v>35</v>
      </c>
      <c r="B11" s="9" t="n">
        <v>4000</v>
      </c>
      <c r="D11" s="8" t="s">
        <v>36</v>
      </c>
    </row>
    <row r="13" customFormat="false" ht="15" hidden="false" customHeight="false" outlineLevel="0" collapsed="false">
      <c r="A13" s="6" t="s">
        <v>37</v>
      </c>
      <c r="B13" s="6"/>
      <c r="C13" s="6"/>
      <c r="D13" s="6"/>
    </row>
    <row r="14" customFormat="false" ht="15" hidden="false" customHeight="false" outlineLevel="0" collapsed="false">
      <c r="A14" s="2" t="s">
        <v>38</v>
      </c>
      <c r="B14" s="9" t="n">
        <v>2500</v>
      </c>
      <c r="D14" s="8" t="s">
        <v>39</v>
      </c>
    </row>
    <row r="15" customFormat="false" ht="15" hidden="false" customHeight="false" outlineLevel="0" collapsed="false">
      <c r="A15" s="2" t="s">
        <v>40</v>
      </c>
      <c r="B15" s="9" t="n">
        <v>2000</v>
      </c>
      <c r="D15" s="8" t="s">
        <v>41</v>
      </c>
    </row>
    <row r="16" customFormat="false" ht="15" hidden="false" customHeight="false" outlineLevel="0" collapsed="false">
      <c r="A16" s="2" t="s">
        <v>42</v>
      </c>
      <c r="B16" s="9" t="n">
        <v>1550</v>
      </c>
      <c r="D16" s="8" t="s">
        <v>43</v>
      </c>
    </row>
    <row r="17" customFormat="false" ht="15" hidden="false" customHeight="false" outlineLevel="0" collapsed="false">
      <c r="A17" s="2" t="s">
        <v>44</v>
      </c>
      <c r="B17" s="10" t="n">
        <v>0.3</v>
      </c>
    </row>
    <row r="18" customFormat="false" ht="15" hidden="false" customHeight="false" outlineLevel="0" collapsed="false">
      <c r="A18" s="2" t="s">
        <v>45</v>
      </c>
      <c r="B18" s="10" t="n">
        <v>0.4</v>
      </c>
    </row>
    <row r="19" customFormat="false" ht="15" hidden="false" customHeight="false" outlineLevel="0" collapsed="false">
      <c r="A19" s="2" t="s">
        <v>46</v>
      </c>
      <c r="B19" s="10" t="n">
        <v>0.3</v>
      </c>
    </row>
    <row r="20" customFormat="false" ht="15" hidden="false" customHeight="false" outlineLevel="0" collapsed="false">
      <c r="A20" s="3" t="s">
        <v>47</v>
      </c>
      <c r="B20" s="9" t="n">
        <f aca="false">B14*B17+B15*B18+B16*B19</f>
        <v>2015</v>
      </c>
    </row>
    <row r="22" customFormat="false" ht="15" hidden="false" customHeight="false" outlineLevel="0" collapsed="false">
      <c r="A22" s="6" t="s">
        <v>48</v>
      </c>
      <c r="B22" s="6"/>
      <c r="C22" s="6"/>
      <c r="D22" s="6"/>
    </row>
    <row r="23" customFormat="false" ht="15" hidden="false" customHeight="false" outlineLevel="0" collapsed="false">
      <c r="A23" s="2" t="s">
        <v>49</v>
      </c>
      <c r="B23" s="11" t="n">
        <v>0.7</v>
      </c>
    </row>
    <row r="24" customFormat="false" ht="15" hidden="false" customHeight="false" outlineLevel="0" collapsed="false">
      <c r="A24" s="2" t="s">
        <v>50</v>
      </c>
      <c r="B24" s="11" t="n">
        <f aca="false">1-B23</f>
        <v>0.3</v>
      </c>
    </row>
    <row r="25" customFormat="false" ht="15" hidden="false" customHeight="false" outlineLevel="0" collapsed="false">
      <c r="A25" s="2" t="s">
        <v>51</v>
      </c>
      <c r="B25" s="10" t="n">
        <v>0.15</v>
      </c>
    </row>
    <row r="27" customFormat="false" ht="15" hidden="false" customHeight="false" outlineLevel="0" collapsed="false">
      <c r="A27" s="6" t="s">
        <v>52</v>
      </c>
      <c r="B27" s="6"/>
      <c r="C27" s="6"/>
      <c r="D27" s="6"/>
    </row>
    <row r="28" customFormat="false" ht="15" hidden="false" customHeight="false" outlineLevel="0" collapsed="false">
      <c r="A28" s="2" t="s">
        <v>53</v>
      </c>
      <c r="B28" s="12" t="n">
        <v>0.7</v>
      </c>
    </row>
    <row r="29" customFormat="false" ht="15" hidden="false" customHeight="false" outlineLevel="0" collapsed="false">
      <c r="A29" s="2" t="s">
        <v>54</v>
      </c>
      <c r="B29" s="12" t="n">
        <v>4</v>
      </c>
    </row>
    <row r="30" customFormat="false" ht="15" hidden="false" customHeight="false" outlineLevel="0" collapsed="false">
      <c r="A30" s="2" t="s">
        <v>55</v>
      </c>
      <c r="B30" s="10" t="n">
        <v>0.3</v>
      </c>
    </row>
    <row r="31" customFormat="false" ht="15" hidden="false" customHeight="false" outlineLevel="0" collapsed="false">
      <c r="A31" s="2" t="s">
        <v>56</v>
      </c>
      <c r="B31" s="10" t="n">
        <v>0.6</v>
      </c>
    </row>
    <row r="32" customFormat="false" ht="15" hidden="false" customHeight="false" outlineLevel="0" collapsed="false">
      <c r="A32" s="2" t="s">
        <v>57</v>
      </c>
      <c r="B32" s="10" t="n">
        <v>0.1</v>
      </c>
    </row>
    <row r="33" customFormat="false" ht="15" hidden="false" customHeight="false" outlineLevel="0" collapsed="false">
      <c r="A33" s="3" t="s">
        <v>58</v>
      </c>
      <c r="B33" s="9" t="n">
        <f aca="false">B8*B30+B9*B31+B10*B32</f>
        <v>1300</v>
      </c>
    </row>
    <row r="34" customFormat="false" ht="15" hidden="false" customHeight="false" outlineLevel="0" collapsed="false">
      <c r="A34" s="2" t="s">
        <v>59</v>
      </c>
      <c r="B34" s="10" t="n">
        <v>0.8</v>
      </c>
    </row>
    <row r="35" customFormat="false" ht="15" hidden="false" customHeight="false" outlineLevel="0" collapsed="false">
      <c r="A35" s="2" t="s">
        <v>60</v>
      </c>
      <c r="B35" s="10" t="n">
        <v>0.2</v>
      </c>
    </row>
    <row r="36" customFormat="false" ht="15" hidden="false" customHeight="false" outlineLevel="0" collapsed="false">
      <c r="A36" s="3" t="s">
        <v>61</v>
      </c>
      <c r="B36" s="9" t="n">
        <f aca="false">(B9*B34+B10*B35)*(1-B25)</f>
        <v>1445</v>
      </c>
    </row>
    <row r="38" customFormat="false" ht="15" hidden="false" customHeight="false" outlineLevel="0" collapsed="false">
      <c r="A38" s="6" t="s">
        <v>62</v>
      </c>
      <c r="B38" s="6"/>
      <c r="C38" s="6"/>
      <c r="D38" s="6"/>
    </row>
    <row r="39" customFormat="false" ht="15" hidden="false" customHeight="false" outlineLevel="0" collapsed="false">
      <c r="A39" s="2" t="s">
        <v>63</v>
      </c>
      <c r="B39" s="10" t="n">
        <v>0.02</v>
      </c>
    </row>
    <row r="40" customFormat="false" ht="15" hidden="false" customHeight="false" outlineLevel="0" collapsed="false">
      <c r="A40" s="2" t="s">
        <v>64</v>
      </c>
      <c r="B40" s="13" t="n">
        <v>9000</v>
      </c>
    </row>
    <row r="41" customFormat="false" ht="15" hidden="false" customHeight="false" outlineLevel="0" collapsed="false">
      <c r="A41" s="2" t="s">
        <v>65</v>
      </c>
      <c r="B41" s="7" t="n">
        <v>50</v>
      </c>
    </row>
    <row r="42" customFormat="false" ht="15" hidden="false" customHeight="false" outlineLevel="0" collapsed="false">
      <c r="A42" s="2" t="s">
        <v>66</v>
      </c>
      <c r="B42" s="13" t="n">
        <v>75000</v>
      </c>
    </row>
    <row r="43" customFormat="false" ht="15" hidden="false" customHeight="false" outlineLevel="0" collapsed="false">
      <c r="A43" s="2" t="s">
        <v>67</v>
      </c>
      <c r="B43" s="13" t="n">
        <v>62500</v>
      </c>
    </row>
    <row r="44" customFormat="false" ht="15" hidden="false" customHeight="false" outlineLevel="0" collapsed="false">
      <c r="A44" s="2" t="s">
        <v>68</v>
      </c>
      <c r="B44" s="10" t="n">
        <v>0.12</v>
      </c>
    </row>
  </sheetData>
  <mergeCells count="8">
    <mergeCell ref="A1:D1"/>
    <mergeCell ref="A2:D2"/>
    <mergeCell ref="A4:D4"/>
    <mergeCell ref="A7:D7"/>
    <mergeCell ref="A13:D13"/>
    <mergeCell ref="A22:D22"/>
    <mergeCell ref="A27:D2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4"/>
  </cols>
  <sheetData>
    <row r="1" customFormat="false" ht="19.7" hidden="false" customHeight="false" outlineLevel="0" collapsed="false">
      <c r="A1" s="4" t="s">
        <v>69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8" t="s">
        <v>70</v>
      </c>
    </row>
    <row r="4" customFormat="false" ht="15" hidden="false" customHeight="false" outlineLevel="0" collapsed="false">
      <c r="A4" s="14"/>
      <c r="B4" s="14" t="s">
        <v>71</v>
      </c>
      <c r="C4" s="14" t="s">
        <v>72</v>
      </c>
      <c r="D4" s="14" t="s">
        <v>73</v>
      </c>
      <c r="E4" s="14" t="s">
        <v>74</v>
      </c>
      <c r="F4" s="14" t="s">
        <v>75</v>
      </c>
      <c r="G4" s="14" t="s">
        <v>76</v>
      </c>
      <c r="H4" s="14" t="s">
        <v>77</v>
      </c>
      <c r="I4" s="14" t="s">
        <v>78</v>
      </c>
    </row>
    <row r="5" customFormat="false" ht="15" hidden="false" customHeight="false" outlineLevel="0" collapsed="false">
      <c r="A5" s="2" t="s">
        <v>79</v>
      </c>
      <c r="B5" s="15" t="n">
        <f aca="false">Assumptions!B8</f>
        <v>500</v>
      </c>
      <c r="C5" s="15" t="n">
        <f aca="false">Assumptions!B8</f>
        <v>500</v>
      </c>
      <c r="D5" s="15" t="n">
        <f aca="false">Assumptions!B9</f>
        <v>1500</v>
      </c>
      <c r="E5" s="15" t="n">
        <f aca="false">Assumptions!B9</f>
        <v>1500</v>
      </c>
      <c r="F5" s="15" t="n">
        <f aca="false">Assumptions!B10</f>
        <v>2500</v>
      </c>
      <c r="G5" s="15" t="n">
        <f aca="false">Assumptions!B10</f>
        <v>2500</v>
      </c>
      <c r="H5" s="15" t="n">
        <f aca="false">Assumptions!B11</f>
        <v>4000</v>
      </c>
      <c r="I5" s="15" t="n">
        <f aca="false">Assumptions!B11</f>
        <v>4000</v>
      </c>
    </row>
    <row r="6" customFormat="false" ht="15" hidden="false" customHeight="false" outlineLevel="0" collapsed="false">
      <c r="A6" s="2" t="s">
        <v>80</v>
      </c>
      <c r="B6" s="15" t="n">
        <f aca="false">B5</f>
        <v>500</v>
      </c>
      <c r="C6" s="15" t="n">
        <f aca="false">0</f>
        <v>0</v>
      </c>
      <c r="D6" s="15" t="n">
        <f aca="false">D5</f>
        <v>1500</v>
      </c>
      <c r="E6" s="15" t="n">
        <f aca="false">D5*(1-Assumptions!B25)</f>
        <v>1275</v>
      </c>
      <c r="F6" s="15" t="n">
        <f aca="false">F5</f>
        <v>2500</v>
      </c>
      <c r="G6" s="15" t="n">
        <f aca="false">F5*(1-Assumptions!B25)</f>
        <v>2125</v>
      </c>
      <c r="H6" s="15" t="n">
        <f aca="false">H5</f>
        <v>4000</v>
      </c>
      <c r="I6" s="15" t="n">
        <f aca="false">H5*(1-Assumptions!B25)</f>
        <v>3400</v>
      </c>
    </row>
    <row r="7" customFormat="false" ht="15" hidden="false" customHeight="false" outlineLevel="0" collapsed="false">
      <c r="A7" s="2" t="s">
        <v>81</v>
      </c>
      <c r="B7" s="15" t="n">
        <f aca="false">B6*Assumptions!B23</f>
        <v>350</v>
      </c>
      <c r="C7" s="15" t="n">
        <f aca="false">C6*Assumptions!B23</f>
        <v>0</v>
      </c>
      <c r="D7" s="15" t="n">
        <f aca="false">D6*Assumptions!B23</f>
        <v>1050</v>
      </c>
      <c r="E7" s="15" t="n">
        <f aca="false">E6*Assumptions!B23</f>
        <v>892.5</v>
      </c>
      <c r="F7" s="15" t="n">
        <f aca="false">F6*Assumptions!B23</f>
        <v>1750</v>
      </c>
      <c r="G7" s="15" t="n">
        <f aca="false">G6*Assumptions!B23</f>
        <v>1487.5</v>
      </c>
      <c r="H7" s="15" t="n">
        <f aca="false">H6*Assumptions!B23</f>
        <v>2800</v>
      </c>
      <c r="I7" s="15" t="n">
        <f aca="false">I6*Assumptions!B23</f>
        <v>2380</v>
      </c>
    </row>
    <row r="8" customFormat="false" ht="15" hidden="false" customHeight="false" outlineLevel="0" collapsed="false">
      <c r="A8" s="2" t="s">
        <v>82</v>
      </c>
      <c r="B8" s="15" t="n">
        <f aca="false">B6*Assumptions!B24</f>
        <v>150</v>
      </c>
      <c r="C8" s="15" t="n">
        <f aca="false">C6*Assumptions!B24</f>
        <v>0</v>
      </c>
      <c r="D8" s="15" t="n">
        <f aca="false">D6*Assumptions!B24</f>
        <v>450</v>
      </c>
      <c r="E8" s="15" t="n">
        <f aca="false">E6*Assumptions!B24</f>
        <v>382.5</v>
      </c>
      <c r="F8" s="15" t="n">
        <f aca="false">F6*Assumptions!B24</f>
        <v>750</v>
      </c>
      <c r="G8" s="15" t="n">
        <f aca="false">G6*Assumptions!B24</f>
        <v>637.5</v>
      </c>
      <c r="H8" s="15" t="n">
        <f aca="false">H6*Assumptions!B24</f>
        <v>1200</v>
      </c>
      <c r="I8" s="15" t="n">
        <f aca="false">I6*Assumptions!B24</f>
        <v>1020</v>
      </c>
    </row>
    <row r="9" customFormat="false" ht="15" hidden="false" customHeight="false" outlineLevel="0" collapsed="false">
      <c r="A9" s="2" t="s">
        <v>83</v>
      </c>
      <c r="B9" s="15" t="n">
        <f aca="false">B6*Assumptions!B39</f>
        <v>10</v>
      </c>
      <c r="C9" s="15" t="n">
        <f aca="false">C6*Assumptions!B39</f>
        <v>0</v>
      </c>
      <c r="D9" s="15" t="n">
        <f aca="false">D6*Assumptions!B39</f>
        <v>30</v>
      </c>
      <c r="E9" s="15" t="n">
        <f aca="false">E6*Assumptions!B39</f>
        <v>25.5</v>
      </c>
      <c r="F9" s="15" t="n">
        <f aca="false">F6*Assumptions!B39</f>
        <v>50</v>
      </c>
      <c r="G9" s="15" t="n">
        <f aca="false">G6*Assumptions!B39</f>
        <v>42.5</v>
      </c>
      <c r="H9" s="15" t="n">
        <f aca="false">H6*Assumptions!B39</f>
        <v>80</v>
      </c>
      <c r="I9" s="15" t="n">
        <f aca="false">I6*Assumptions!B39</f>
        <v>68</v>
      </c>
    </row>
    <row r="10" customFormat="false" ht="15" hidden="false" customHeight="false" outlineLevel="0" collapsed="false">
      <c r="A10" s="3" t="s">
        <v>84</v>
      </c>
      <c r="B10" s="9" t="n">
        <f aca="false">B8-B9</f>
        <v>140</v>
      </c>
      <c r="C10" s="9" t="n">
        <f aca="false">C8-C9</f>
        <v>0</v>
      </c>
      <c r="D10" s="9" t="n">
        <f aca="false">D8-D9</f>
        <v>420</v>
      </c>
      <c r="E10" s="9" t="n">
        <f aca="false">E8-E9</f>
        <v>357</v>
      </c>
      <c r="F10" s="9" t="n">
        <f aca="false">F8-F9</f>
        <v>700</v>
      </c>
      <c r="G10" s="9" t="n">
        <f aca="false">G8-G9</f>
        <v>595</v>
      </c>
      <c r="H10" s="9" t="n">
        <f aca="false">H8-H9</f>
        <v>1120</v>
      </c>
      <c r="I10" s="9" t="n">
        <f aca="false">I8-I9</f>
        <v>952</v>
      </c>
    </row>
    <row r="12" customFormat="false" ht="19.7" hidden="false" customHeight="false" outlineLevel="0" collapsed="false">
      <c r="A12" s="4" t="s">
        <v>85</v>
      </c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false" outlineLevel="0" collapsed="false">
      <c r="A13" s="8" t="s">
        <v>86</v>
      </c>
    </row>
    <row r="15" customFormat="false" ht="15" hidden="false" customHeight="false" outlineLevel="0" collapsed="false">
      <c r="A15" s="14"/>
      <c r="B15" s="14" t="s">
        <v>87</v>
      </c>
      <c r="C15" s="14" t="s">
        <v>88</v>
      </c>
    </row>
    <row r="16" customFormat="false" ht="15" hidden="false" customHeight="false" outlineLevel="0" collapsed="false">
      <c r="A16" s="2" t="s">
        <v>89</v>
      </c>
      <c r="B16" s="15" t="n">
        <f aca="false">0</f>
        <v>0</v>
      </c>
      <c r="C16" s="15" t="n">
        <f aca="false">Assumptions!B20</f>
        <v>2015</v>
      </c>
    </row>
    <row r="17" customFormat="false" ht="15" hidden="false" customHeight="false" outlineLevel="0" collapsed="false">
      <c r="A17" s="2" t="s">
        <v>90</v>
      </c>
      <c r="B17" s="16" t="n">
        <f aca="false">Assumptions!B28</f>
        <v>0.7</v>
      </c>
      <c r="C17" s="16" t="n">
        <f aca="false">Assumptions!B29</f>
        <v>4</v>
      </c>
    </row>
    <row r="18" customFormat="false" ht="15" hidden="false" customHeight="false" outlineLevel="0" collapsed="false">
      <c r="A18" s="2" t="s">
        <v>91</v>
      </c>
      <c r="B18" s="15" t="n">
        <f aca="false">Assumptions!B33</f>
        <v>1300</v>
      </c>
      <c r="C18" s="15" t="n">
        <f aca="false">Assumptions!B36</f>
        <v>1445</v>
      </c>
    </row>
    <row r="19" customFormat="false" ht="15" hidden="false" customHeight="false" outlineLevel="0" collapsed="false">
      <c r="A19" s="2" t="s">
        <v>92</v>
      </c>
      <c r="B19" s="15" t="n">
        <f aca="false">B17*B18</f>
        <v>910</v>
      </c>
      <c r="C19" s="15" t="n">
        <f aca="false">C17*C18</f>
        <v>5780</v>
      </c>
    </row>
    <row r="20" customFormat="false" ht="15" hidden="false" customHeight="false" outlineLevel="0" collapsed="false">
      <c r="A20" s="2" t="s">
        <v>93</v>
      </c>
      <c r="B20" s="15" t="n">
        <f aca="false">B19*Assumptions!B24</f>
        <v>273</v>
      </c>
      <c r="C20" s="15" t="n">
        <f aca="false">C19*Assumptions!B24</f>
        <v>1734</v>
      </c>
    </row>
    <row r="21" customFormat="false" ht="15" hidden="false" customHeight="false" outlineLevel="0" collapsed="false">
      <c r="A21" s="2" t="s">
        <v>94</v>
      </c>
      <c r="B21" s="15" t="n">
        <f aca="false">(B16+B19)*Assumptions!B39</f>
        <v>18.2</v>
      </c>
      <c r="C21" s="15" t="n">
        <f aca="false">(C16+C19)*Assumptions!B39</f>
        <v>155.9</v>
      </c>
    </row>
    <row r="22" customFormat="false" ht="15" hidden="false" customHeight="false" outlineLevel="0" collapsed="false">
      <c r="A22" s="3" t="s">
        <v>95</v>
      </c>
      <c r="B22" s="9" t="n">
        <f aca="false">B16+B20-B21</f>
        <v>254.8</v>
      </c>
      <c r="C22" s="9" t="n">
        <f aca="false">C16+C20-C21</f>
        <v>3593.1</v>
      </c>
    </row>
    <row r="24" customFormat="false" ht="15" hidden="false" customHeight="false" outlineLevel="0" collapsed="false">
      <c r="A24" s="2" t="s">
        <v>96</v>
      </c>
      <c r="B24" s="17" t="n">
        <f aca="false">IFERROR(C22/B22,0)</f>
        <v>14.1016483516484</v>
      </c>
    </row>
  </sheetData>
  <mergeCells count="2">
    <mergeCell ref="A1:I1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3"/>
  </cols>
  <sheetData>
    <row r="1" customFormat="false" ht="19.7" hidden="false" customHeight="false" outlineLevel="0" collapsed="false">
      <c r="A1" s="4" t="s">
        <v>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8" t="s">
        <v>98</v>
      </c>
    </row>
    <row r="4" customFormat="false" ht="15" hidden="false" customHeight="false" outlineLevel="0" collapsed="false">
      <c r="B4" s="14" t="s">
        <v>99</v>
      </c>
      <c r="C4" s="14" t="s">
        <v>100</v>
      </c>
      <c r="D4" s="14" t="s">
        <v>101</v>
      </c>
      <c r="E4" s="14" t="s">
        <v>102</v>
      </c>
      <c r="F4" s="14" t="s">
        <v>103</v>
      </c>
      <c r="G4" s="14" t="s">
        <v>104</v>
      </c>
      <c r="H4" s="14" t="s">
        <v>105</v>
      </c>
      <c r="I4" s="14" t="s">
        <v>106</v>
      </c>
      <c r="J4" s="14" t="s">
        <v>107</v>
      </c>
      <c r="K4" s="14" t="s">
        <v>108</v>
      </c>
      <c r="L4" s="14" t="s">
        <v>109</v>
      </c>
      <c r="M4" s="14" t="s">
        <v>110</v>
      </c>
      <c r="N4" s="14" t="s">
        <v>111</v>
      </c>
    </row>
    <row r="5" customFormat="false" ht="15" hidden="false" customHeight="false" outlineLevel="0" collapsed="false">
      <c r="A5" s="6" t="s">
        <v>112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false" outlineLevel="0" collapsed="false">
      <c r="A6" s="2" t="s">
        <v>113</v>
      </c>
      <c r="B6" s="7" t="n">
        <v>200</v>
      </c>
      <c r="C6" s="7" t="n">
        <v>400</v>
      </c>
      <c r="D6" s="7" t="n">
        <v>700</v>
      </c>
      <c r="E6" s="7" t="n">
        <v>1000</v>
      </c>
      <c r="F6" s="7" t="n">
        <v>1500</v>
      </c>
      <c r="G6" s="7" t="n">
        <v>2000</v>
      </c>
      <c r="H6" s="7" t="n">
        <v>2750</v>
      </c>
      <c r="I6" s="7" t="n">
        <v>3500</v>
      </c>
      <c r="J6" s="7" t="n">
        <v>4000</v>
      </c>
      <c r="K6" s="7" t="n">
        <v>4500</v>
      </c>
      <c r="L6" s="7" t="n">
        <v>4800</v>
      </c>
      <c r="M6" s="7" t="n">
        <v>5000</v>
      </c>
    </row>
    <row r="7" customFormat="false" ht="15" hidden="false" customHeight="false" outlineLevel="0" collapsed="false">
      <c r="A7" s="2" t="s">
        <v>114</v>
      </c>
      <c r="B7" s="10" t="n">
        <v>0.05</v>
      </c>
      <c r="C7" s="10" t="n">
        <v>0.055</v>
      </c>
      <c r="D7" s="10" t="n">
        <v>0.057</v>
      </c>
      <c r="E7" s="10" t="n">
        <v>0.06</v>
      </c>
      <c r="F7" s="10" t="n">
        <v>0.063</v>
      </c>
      <c r="G7" s="10" t="n">
        <v>0.0675</v>
      </c>
      <c r="H7" s="10" t="n">
        <v>0.071</v>
      </c>
      <c r="I7" s="10" t="n">
        <v>0.074</v>
      </c>
      <c r="J7" s="10" t="n">
        <v>0.0775</v>
      </c>
      <c r="K7" s="10" t="n">
        <v>0.078</v>
      </c>
      <c r="L7" s="10" t="n">
        <v>0.079</v>
      </c>
      <c r="M7" s="10" t="n">
        <v>0.08</v>
      </c>
    </row>
    <row r="8" customFormat="false" ht="15" hidden="false" customHeight="false" outlineLevel="0" collapsed="false">
      <c r="A8" s="2" t="s">
        <v>115</v>
      </c>
      <c r="B8" s="18" t="n">
        <f aca="false">ROUND(B6*B7,0)</f>
        <v>10</v>
      </c>
      <c r="C8" s="18" t="n">
        <f aca="false">ROUND(C6*C7,0)</f>
        <v>22</v>
      </c>
      <c r="D8" s="18" t="n">
        <f aca="false">ROUND(D6*D7,0)</f>
        <v>40</v>
      </c>
      <c r="E8" s="18" t="n">
        <f aca="false">ROUND(E6*E7,0)</f>
        <v>60</v>
      </c>
      <c r="F8" s="18" t="n">
        <f aca="false">ROUND(F6*F7,0)</f>
        <v>95</v>
      </c>
      <c r="G8" s="18" t="n">
        <f aca="false">ROUND(G6*G7,0)</f>
        <v>135</v>
      </c>
      <c r="H8" s="18" t="n">
        <f aca="false">ROUND(H6*H7,0)</f>
        <v>195</v>
      </c>
      <c r="I8" s="18" t="n">
        <f aca="false">ROUND(I6*I7,0)</f>
        <v>259</v>
      </c>
      <c r="J8" s="18" t="n">
        <f aca="false">ROUND(J6*J7,0)</f>
        <v>310</v>
      </c>
      <c r="K8" s="18" t="n">
        <f aca="false">ROUND(K6*K7,0)</f>
        <v>351</v>
      </c>
      <c r="L8" s="18" t="n">
        <f aca="false">ROUND(L6*L7,0)</f>
        <v>379</v>
      </c>
      <c r="M8" s="18" t="n">
        <f aca="false">ROUND(M6*M7,0)</f>
        <v>400</v>
      </c>
    </row>
    <row r="9" customFormat="false" ht="15" hidden="false" customHeight="false" outlineLevel="0" collapsed="false">
      <c r="A9" s="2" t="s">
        <v>116</v>
      </c>
      <c r="B9" s="18" t="n">
        <f aca="false">B6-B8</f>
        <v>190</v>
      </c>
      <c r="C9" s="18" t="n">
        <f aca="false">C6-C8</f>
        <v>378</v>
      </c>
      <c r="D9" s="18" t="n">
        <f aca="false">D6-D8</f>
        <v>660</v>
      </c>
      <c r="E9" s="18" t="n">
        <f aca="false">E6-E8</f>
        <v>940</v>
      </c>
      <c r="F9" s="18" t="n">
        <f aca="false">F6-F8</f>
        <v>1405</v>
      </c>
      <c r="G9" s="18" t="n">
        <f aca="false">G6-G8</f>
        <v>1865</v>
      </c>
      <c r="H9" s="18" t="n">
        <f aca="false">H6-H8</f>
        <v>2555</v>
      </c>
      <c r="I9" s="18" t="n">
        <f aca="false">I6-I8</f>
        <v>3241</v>
      </c>
      <c r="J9" s="18" t="n">
        <f aca="false">J6-J8</f>
        <v>3690</v>
      </c>
      <c r="K9" s="18" t="n">
        <f aca="false">K6-K8</f>
        <v>4149</v>
      </c>
      <c r="L9" s="18" t="n">
        <f aca="false">L6-L8</f>
        <v>4421</v>
      </c>
      <c r="M9" s="18" t="n">
        <f aca="false">M6-M8</f>
        <v>4600</v>
      </c>
    </row>
    <row r="11" customFormat="false" ht="15" hidden="false" customHeight="false" outlineLevel="0" collapsed="false">
      <c r="A11" s="6" t="s">
        <v>117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2" t="s">
        <v>118</v>
      </c>
      <c r="B12" s="15" t="n">
        <f aca="false">B8*Assumptions!B20</f>
        <v>20150</v>
      </c>
      <c r="C12" s="15" t="n">
        <f aca="false">C8*Assumptions!B20</f>
        <v>44330</v>
      </c>
      <c r="D12" s="15" t="n">
        <f aca="false">D8*Assumptions!B20</f>
        <v>80600</v>
      </c>
      <c r="E12" s="15" t="n">
        <f aca="false">E8*Assumptions!B20</f>
        <v>120900</v>
      </c>
      <c r="F12" s="15" t="n">
        <f aca="false">F8*Assumptions!B20</f>
        <v>191425</v>
      </c>
      <c r="G12" s="15" t="n">
        <f aca="false">G8*Assumptions!B20</f>
        <v>272025</v>
      </c>
      <c r="H12" s="15" t="n">
        <f aca="false">H8*Assumptions!B20</f>
        <v>392925</v>
      </c>
      <c r="I12" s="15" t="n">
        <f aca="false">I8*Assumptions!B20</f>
        <v>521885</v>
      </c>
      <c r="J12" s="15" t="n">
        <f aca="false">J8*Assumptions!B20</f>
        <v>624650</v>
      </c>
      <c r="K12" s="15" t="n">
        <f aca="false">K8*Assumptions!B20</f>
        <v>707265</v>
      </c>
      <c r="L12" s="15" t="n">
        <f aca="false">L8*Assumptions!B20</f>
        <v>763685</v>
      </c>
      <c r="M12" s="15" t="n">
        <f aca="false">M8*Assumptions!B20</f>
        <v>806000</v>
      </c>
      <c r="N12" s="9" t="n">
        <f aca="false">SUM(B12:M12)</f>
        <v>4545840</v>
      </c>
    </row>
    <row r="13" customFormat="false" ht="15" hidden="false" customHeight="false" outlineLevel="0" collapsed="false">
      <c r="A13" s="2" t="s">
        <v>119</v>
      </c>
      <c r="B13" s="15" t="n">
        <f aca="false">B9*Assumptions!B28*Assumptions!B33</f>
        <v>172900</v>
      </c>
      <c r="C13" s="15" t="n">
        <f aca="false">C9*Assumptions!B28*Assumptions!B33</f>
        <v>343980</v>
      </c>
      <c r="D13" s="15" t="n">
        <f aca="false">D9*Assumptions!B28*Assumptions!B33</f>
        <v>600600</v>
      </c>
      <c r="E13" s="15" t="n">
        <f aca="false">E9*Assumptions!B28*Assumptions!B33</f>
        <v>855400</v>
      </c>
      <c r="F13" s="15" t="n">
        <f aca="false">F9*Assumptions!B28*Assumptions!B33</f>
        <v>1278550</v>
      </c>
      <c r="G13" s="15" t="n">
        <f aca="false">G9*Assumptions!B28*Assumptions!B33</f>
        <v>1697150</v>
      </c>
      <c r="H13" s="15" t="n">
        <f aca="false">H9*Assumptions!B28*Assumptions!B33</f>
        <v>2325050</v>
      </c>
      <c r="I13" s="15" t="n">
        <f aca="false">I9*Assumptions!B28*Assumptions!B33</f>
        <v>2949310</v>
      </c>
      <c r="J13" s="15" t="n">
        <f aca="false">J9*Assumptions!B28*Assumptions!B33</f>
        <v>3357900</v>
      </c>
      <c r="K13" s="15" t="n">
        <f aca="false">K9*Assumptions!B28*Assumptions!B33</f>
        <v>3775590</v>
      </c>
      <c r="L13" s="15" t="n">
        <f aca="false">L9*Assumptions!B28*Assumptions!B33</f>
        <v>4023110</v>
      </c>
      <c r="M13" s="15" t="n">
        <f aca="false">M9*Assumptions!B28*Assumptions!B33</f>
        <v>4186000</v>
      </c>
      <c r="N13" s="9" t="n">
        <f aca="false">SUM(B13:M13)</f>
        <v>25565540</v>
      </c>
    </row>
    <row r="14" customFormat="false" ht="15" hidden="false" customHeight="false" outlineLevel="0" collapsed="false">
      <c r="A14" s="2" t="s">
        <v>120</v>
      </c>
      <c r="B14" s="15" t="n">
        <f aca="false">B8*Assumptions!B29*Assumptions!B36</f>
        <v>57800</v>
      </c>
      <c r="C14" s="15" t="n">
        <f aca="false">C8*Assumptions!B29*Assumptions!B36</f>
        <v>127160</v>
      </c>
      <c r="D14" s="15" t="n">
        <f aca="false">D8*Assumptions!B29*Assumptions!B36</f>
        <v>231200</v>
      </c>
      <c r="E14" s="15" t="n">
        <f aca="false">E8*Assumptions!B29*Assumptions!B36</f>
        <v>346800</v>
      </c>
      <c r="F14" s="15" t="n">
        <f aca="false">F8*Assumptions!B29*Assumptions!B36</f>
        <v>549100</v>
      </c>
      <c r="G14" s="15" t="n">
        <f aca="false">G8*Assumptions!B29*Assumptions!B36</f>
        <v>780300</v>
      </c>
      <c r="H14" s="15" t="n">
        <f aca="false">H8*Assumptions!B29*Assumptions!B36</f>
        <v>1127100</v>
      </c>
      <c r="I14" s="15" t="n">
        <f aca="false">I8*Assumptions!B29*Assumptions!B36</f>
        <v>1497020</v>
      </c>
      <c r="J14" s="15" t="n">
        <f aca="false">J8*Assumptions!B29*Assumptions!B36</f>
        <v>1791800</v>
      </c>
      <c r="K14" s="15" t="n">
        <f aca="false">K8*Assumptions!B29*Assumptions!B36</f>
        <v>2028780</v>
      </c>
      <c r="L14" s="15" t="n">
        <f aca="false">L8*Assumptions!B29*Assumptions!B36</f>
        <v>2190620</v>
      </c>
      <c r="M14" s="15" t="n">
        <f aca="false">M8*Assumptions!B29*Assumptions!B36</f>
        <v>2312000</v>
      </c>
      <c r="N14" s="9" t="n">
        <f aca="false">SUM(B14:M14)</f>
        <v>13039680</v>
      </c>
    </row>
    <row r="15" customFormat="false" ht="15" hidden="false" customHeight="false" outlineLevel="0" collapsed="false">
      <c r="A15" s="2" t="s">
        <v>121</v>
      </c>
      <c r="B15" s="15" t="n">
        <f aca="false">B13+B14</f>
        <v>230700</v>
      </c>
      <c r="C15" s="15" t="n">
        <f aca="false">C13+C14</f>
        <v>471140</v>
      </c>
      <c r="D15" s="15" t="n">
        <f aca="false">D13+D14</f>
        <v>831800</v>
      </c>
      <c r="E15" s="15" t="n">
        <f aca="false">E13+E14</f>
        <v>1202200</v>
      </c>
      <c r="F15" s="15" t="n">
        <f aca="false">F13+F14</f>
        <v>1827650</v>
      </c>
      <c r="G15" s="15" t="n">
        <f aca="false">G13+G14</f>
        <v>2477450</v>
      </c>
      <c r="H15" s="15" t="n">
        <f aca="false">H13+H14</f>
        <v>3452150</v>
      </c>
      <c r="I15" s="15" t="n">
        <f aca="false">I13+I14</f>
        <v>4446330</v>
      </c>
      <c r="J15" s="15" t="n">
        <f aca="false">J13+J14</f>
        <v>5149700</v>
      </c>
      <c r="K15" s="15" t="n">
        <f aca="false">K13+K14</f>
        <v>5804370</v>
      </c>
      <c r="L15" s="15" t="n">
        <f aca="false">L13+L14</f>
        <v>6213730</v>
      </c>
      <c r="M15" s="15" t="n">
        <f aca="false">M13+M14</f>
        <v>6498000</v>
      </c>
      <c r="N15" s="9" t="n">
        <f aca="false">SUM(B15:M15)</f>
        <v>38605220</v>
      </c>
    </row>
    <row r="16" customFormat="false" ht="15" hidden="false" customHeight="false" outlineLevel="0" collapsed="false">
      <c r="A16" s="2" t="s">
        <v>122</v>
      </c>
      <c r="B16" s="15" t="n">
        <f aca="false">B15*Assumptions!B24</f>
        <v>69210</v>
      </c>
      <c r="C16" s="15" t="n">
        <f aca="false">C15*Assumptions!B24</f>
        <v>141342</v>
      </c>
      <c r="D16" s="15" t="n">
        <f aca="false">D15*Assumptions!B24</f>
        <v>249540</v>
      </c>
      <c r="E16" s="15" t="n">
        <f aca="false">E15*Assumptions!B24</f>
        <v>360660</v>
      </c>
      <c r="F16" s="15" t="n">
        <f aca="false">F15*Assumptions!B24</f>
        <v>548295</v>
      </c>
      <c r="G16" s="15" t="n">
        <f aca="false">G15*Assumptions!B24</f>
        <v>743235</v>
      </c>
      <c r="H16" s="15" t="n">
        <f aca="false">H15*Assumptions!B24</f>
        <v>1035645</v>
      </c>
      <c r="I16" s="15" t="n">
        <f aca="false">I15*Assumptions!B24</f>
        <v>1333899</v>
      </c>
      <c r="J16" s="15" t="n">
        <f aca="false">J15*Assumptions!B24</f>
        <v>1544910</v>
      </c>
      <c r="K16" s="15" t="n">
        <f aca="false">K15*Assumptions!B24</f>
        <v>1741311</v>
      </c>
      <c r="L16" s="15" t="n">
        <f aca="false">L15*Assumptions!B24</f>
        <v>1864119</v>
      </c>
      <c r="M16" s="15" t="n">
        <f aca="false">M15*Assumptions!B24</f>
        <v>1949400</v>
      </c>
      <c r="N16" s="9" t="n">
        <f aca="false">SUM(B16:M16)</f>
        <v>11581566</v>
      </c>
    </row>
    <row r="17" customFormat="false" ht="15" hidden="false" customHeight="false" outlineLevel="0" collapsed="false">
      <c r="A17" s="3" t="s">
        <v>123</v>
      </c>
      <c r="B17" s="9" t="n">
        <f aca="false">B12+B16</f>
        <v>89360</v>
      </c>
      <c r="C17" s="9" t="n">
        <f aca="false">C12+C16</f>
        <v>185672</v>
      </c>
      <c r="D17" s="9" t="n">
        <f aca="false">D12+D16</f>
        <v>330140</v>
      </c>
      <c r="E17" s="9" t="n">
        <f aca="false">E12+E16</f>
        <v>481560</v>
      </c>
      <c r="F17" s="9" t="n">
        <f aca="false">F12+F16</f>
        <v>739720</v>
      </c>
      <c r="G17" s="9" t="n">
        <f aca="false">G12+G16</f>
        <v>1015260</v>
      </c>
      <c r="H17" s="9" t="n">
        <f aca="false">H12+H16</f>
        <v>1428570</v>
      </c>
      <c r="I17" s="9" t="n">
        <f aca="false">I12+I16</f>
        <v>1855784</v>
      </c>
      <c r="J17" s="9" t="n">
        <f aca="false">J12+J16</f>
        <v>2169560</v>
      </c>
      <c r="K17" s="9" t="n">
        <f aca="false">K12+K16</f>
        <v>2448576</v>
      </c>
      <c r="L17" s="9" t="n">
        <f aca="false">L12+L16</f>
        <v>2627804</v>
      </c>
      <c r="M17" s="9" t="n">
        <f aca="false">M12+M16</f>
        <v>2755400</v>
      </c>
      <c r="N17" s="9" t="n">
        <f aca="false">SUM(B17:M17)</f>
        <v>16127406</v>
      </c>
    </row>
    <row r="19" customFormat="false" ht="15" hidden="false" customHeight="false" outlineLevel="0" collapsed="false">
      <c r="A19" s="6" t="s">
        <v>62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false" outlineLevel="0" collapsed="false">
      <c r="A20" s="2" t="s">
        <v>124</v>
      </c>
      <c r="B20" s="15" t="n">
        <f aca="false">(B12+B15)*Assumptions!B39</f>
        <v>5017</v>
      </c>
      <c r="C20" s="15" t="n">
        <f aca="false">(C12+C15)*Assumptions!B39</f>
        <v>10309.4</v>
      </c>
      <c r="D20" s="15" t="n">
        <f aca="false">(D12+D15)*Assumptions!B39</f>
        <v>18248</v>
      </c>
      <c r="E20" s="15" t="n">
        <f aca="false">(E12+E15)*Assumptions!B39</f>
        <v>26462</v>
      </c>
      <c r="F20" s="15" t="n">
        <f aca="false">(F12+F15)*Assumptions!B39</f>
        <v>40381.5</v>
      </c>
      <c r="G20" s="15" t="n">
        <f aca="false">(G12+G15)*Assumptions!B39</f>
        <v>54989.5</v>
      </c>
      <c r="H20" s="15" t="n">
        <f aca="false">(H12+H15)*Assumptions!B39</f>
        <v>76901.5</v>
      </c>
      <c r="I20" s="15" t="n">
        <f aca="false">(I12+I15)*Assumptions!B39</f>
        <v>99364.3</v>
      </c>
      <c r="J20" s="15" t="n">
        <f aca="false">(J12+J15)*Assumptions!B39</f>
        <v>115487</v>
      </c>
      <c r="K20" s="15" t="n">
        <f aca="false">(K12+K15)*Assumptions!B39</f>
        <v>130232.7</v>
      </c>
      <c r="L20" s="15" t="n">
        <f aca="false">(L12+L15)*Assumptions!B39</f>
        <v>139548.3</v>
      </c>
      <c r="M20" s="15" t="n">
        <f aca="false">(M12+M15)*Assumptions!B39</f>
        <v>146080</v>
      </c>
      <c r="N20" s="9" t="n">
        <f aca="false">SUM(B20:M20)</f>
        <v>863021.2</v>
      </c>
    </row>
    <row r="21" customFormat="false" ht="15" hidden="false" customHeight="false" outlineLevel="0" collapsed="false">
      <c r="A21" s="2" t="s">
        <v>125</v>
      </c>
      <c r="B21" s="15" t="n">
        <f aca="false">Assumptions!B41*Assumptions!B40</f>
        <v>450000</v>
      </c>
      <c r="C21" s="15" t="n">
        <f aca="false">Assumptions!B41*Assumptions!B40</f>
        <v>450000</v>
      </c>
      <c r="D21" s="15" t="n">
        <f aca="false">Assumptions!B41*Assumptions!B40</f>
        <v>450000</v>
      </c>
      <c r="E21" s="15" t="n">
        <f aca="false">Assumptions!B41*Assumptions!B40</f>
        <v>450000</v>
      </c>
      <c r="F21" s="15" t="n">
        <f aca="false">Assumptions!B41*Assumptions!B40</f>
        <v>450000</v>
      </c>
      <c r="G21" s="15" t="n">
        <f aca="false">Assumptions!B41*Assumptions!B40</f>
        <v>450000</v>
      </c>
      <c r="H21" s="15" t="n">
        <f aca="false">Assumptions!B41*Assumptions!B40</f>
        <v>450000</v>
      </c>
      <c r="I21" s="15" t="n">
        <f aca="false">Assumptions!B41*Assumptions!B40</f>
        <v>450000</v>
      </c>
      <c r="J21" s="15" t="n">
        <f aca="false">Assumptions!B41*Assumptions!B40</f>
        <v>450000</v>
      </c>
      <c r="K21" s="15" t="n">
        <f aca="false">Assumptions!B41*Assumptions!B40</f>
        <v>450000</v>
      </c>
      <c r="L21" s="15" t="n">
        <f aca="false">Assumptions!B41*Assumptions!B40</f>
        <v>450000</v>
      </c>
      <c r="M21" s="15" t="n">
        <f aca="false">Assumptions!B41*Assumptions!B40</f>
        <v>450000</v>
      </c>
      <c r="N21" s="9" t="n">
        <f aca="false">SUM(B21:M21)</f>
        <v>5400000</v>
      </c>
    </row>
    <row r="22" customFormat="false" ht="15" hidden="false" customHeight="false" outlineLevel="0" collapsed="false">
      <c r="A22" s="2" t="s">
        <v>126</v>
      </c>
      <c r="B22" s="15" t="n">
        <f aca="false">Assumptions!B42</f>
        <v>75000</v>
      </c>
      <c r="C22" s="15" t="n">
        <f aca="false">Assumptions!B42</f>
        <v>75000</v>
      </c>
      <c r="D22" s="15" t="n">
        <f aca="false">Assumptions!B42</f>
        <v>75000</v>
      </c>
      <c r="E22" s="15" t="n">
        <f aca="false">Assumptions!B42</f>
        <v>75000</v>
      </c>
      <c r="F22" s="15" t="n">
        <f aca="false">Assumptions!B42</f>
        <v>75000</v>
      </c>
      <c r="G22" s="15" t="n">
        <f aca="false">Assumptions!B42</f>
        <v>75000</v>
      </c>
      <c r="H22" s="15" t="n">
        <f aca="false">Assumptions!B42</f>
        <v>75000</v>
      </c>
      <c r="I22" s="15" t="n">
        <f aca="false">Assumptions!B42</f>
        <v>75000</v>
      </c>
      <c r="J22" s="15" t="n">
        <f aca="false">Assumptions!B42</f>
        <v>75000</v>
      </c>
      <c r="K22" s="15" t="n">
        <f aca="false">Assumptions!B42</f>
        <v>75000</v>
      </c>
      <c r="L22" s="15" t="n">
        <f aca="false">Assumptions!B42</f>
        <v>75000</v>
      </c>
      <c r="M22" s="15" t="n">
        <f aca="false">Assumptions!B42</f>
        <v>75000</v>
      </c>
      <c r="N22" s="9" t="n">
        <f aca="false">SUM(B22:M22)</f>
        <v>900000</v>
      </c>
    </row>
    <row r="23" customFormat="false" ht="15" hidden="false" customHeight="false" outlineLevel="0" collapsed="false">
      <c r="A23" s="2" t="s">
        <v>127</v>
      </c>
      <c r="B23" s="15" t="n">
        <f aca="false">Assumptions!B43</f>
        <v>62500</v>
      </c>
      <c r="C23" s="15" t="n">
        <f aca="false">Assumptions!B43</f>
        <v>62500</v>
      </c>
      <c r="D23" s="15" t="n">
        <f aca="false">Assumptions!B43</f>
        <v>62500</v>
      </c>
      <c r="E23" s="15" t="n">
        <f aca="false">Assumptions!B43</f>
        <v>62500</v>
      </c>
      <c r="F23" s="15" t="n">
        <f aca="false">Assumptions!B43</f>
        <v>62500</v>
      </c>
      <c r="G23" s="15" t="n">
        <f aca="false">Assumptions!B43</f>
        <v>62500</v>
      </c>
      <c r="H23" s="15" t="n">
        <f aca="false">Assumptions!B43</f>
        <v>62500</v>
      </c>
      <c r="I23" s="15" t="n">
        <f aca="false">Assumptions!B43</f>
        <v>62500</v>
      </c>
      <c r="J23" s="15" t="n">
        <f aca="false">Assumptions!B43</f>
        <v>62500</v>
      </c>
      <c r="K23" s="15" t="n">
        <f aca="false">Assumptions!B43</f>
        <v>62500</v>
      </c>
      <c r="L23" s="15" t="n">
        <f aca="false">Assumptions!B43</f>
        <v>62500</v>
      </c>
      <c r="M23" s="15" t="n">
        <f aca="false">Assumptions!B43</f>
        <v>62500</v>
      </c>
      <c r="N23" s="9" t="n">
        <f aca="false">SUM(B23:M23)</f>
        <v>750000</v>
      </c>
    </row>
    <row r="24" customFormat="false" ht="15" hidden="false" customHeight="false" outlineLevel="0" collapsed="false">
      <c r="A24" s="2" t="s">
        <v>128</v>
      </c>
      <c r="B24" s="13" t="n">
        <v>37500</v>
      </c>
      <c r="C24" s="13" t="n">
        <v>37500</v>
      </c>
      <c r="D24" s="13" t="n">
        <v>37500</v>
      </c>
      <c r="E24" s="13" t="n">
        <v>60000</v>
      </c>
      <c r="F24" s="13" t="n">
        <v>60000</v>
      </c>
      <c r="G24" s="13" t="n">
        <v>60000</v>
      </c>
      <c r="H24" s="13" t="n">
        <v>100000</v>
      </c>
      <c r="I24" s="13" t="n">
        <v>100000</v>
      </c>
      <c r="J24" s="13" t="n">
        <v>100000</v>
      </c>
      <c r="K24" s="13" t="n">
        <v>150000</v>
      </c>
      <c r="L24" s="13" t="n">
        <v>150000</v>
      </c>
      <c r="M24" s="13" t="n">
        <v>150000</v>
      </c>
      <c r="N24" s="9" t="n">
        <f aca="false">SUM(B24:M24)</f>
        <v>1042500</v>
      </c>
    </row>
    <row r="25" customFormat="false" ht="15" hidden="false" customHeight="false" outlineLevel="0" collapsed="false">
      <c r="A25" s="3" t="s">
        <v>129</v>
      </c>
      <c r="B25" s="9" t="n">
        <f aca="false">SUM(B20:B24)</f>
        <v>630017</v>
      </c>
      <c r="C25" s="9" t="n">
        <f aca="false">SUM(C20:C24)</f>
        <v>635309.4</v>
      </c>
      <c r="D25" s="9" t="n">
        <f aca="false">SUM(D20:D24)</f>
        <v>643248</v>
      </c>
      <c r="E25" s="9" t="n">
        <f aca="false">SUM(E20:E24)</f>
        <v>673962</v>
      </c>
      <c r="F25" s="9" t="n">
        <f aca="false">SUM(F20:F24)</f>
        <v>687881.5</v>
      </c>
      <c r="G25" s="9" t="n">
        <f aca="false">SUM(G20:G24)</f>
        <v>702489.5</v>
      </c>
      <c r="H25" s="9" t="n">
        <f aca="false">SUM(H20:H24)</f>
        <v>764401.5</v>
      </c>
      <c r="I25" s="9" t="n">
        <f aca="false">SUM(I20:I24)</f>
        <v>786864.3</v>
      </c>
      <c r="J25" s="9" t="n">
        <f aca="false">SUM(J20:J24)</f>
        <v>802987</v>
      </c>
      <c r="K25" s="9" t="n">
        <f aca="false">SUM(K20:K24)</f>
        <v>867732.7</v>
      </c>
      <c r="L25" s="9" t="n">
        <f aca="false">SUM(L20:L24)</f>
        <v>877048.3</v>
      </c>
      <c r="M25" s="9" t="n">
        <f aca="false">SUM(M20:M24)</f>
        <v>883580</v>
      </c>
      <c r="N25" s="9" t="n">
        <f aca="false">SUM(B25:M25)</f>
        <v>8955521.2</v>
      </c>
    </row>
    <row r="27" customFormat="false" ht="15" hidden="false" customHeight="false" outlineLevel="0" collapsed="false">
      <c r="A27" s="6" t="s">
        <v>130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customFormat="false" ht="15" hidden="false" customHeight="false" outlineLevel="0" collapsed="false">
      <c r="A28" s="3" t="s">
        <v>131</v>
      </c>
      <c r="B28" s="9" t="n">
        <f aca="false">B17-B25</f>
        <v>-540657</v>
      </c>
      <c r="C28" s="9" t="n">
        <f aca="false">C17-C25</f>
        <v>-449637.4</v>
      </c>
      <c r="D28" s="9" t="n">
        <f aca="false">D17-D25</f>
        <v>-313108</v>
      </c>
      <c r="E28" s="9" t="n">
        <f aca="false">E17-E25</f>
        <v>-192402</v>
      </c>
      <c r="F28" s="9" t="n">
        <f aca="false">F17-F25</f>
        <v>51838.5</v>
      </c>
      <c r="G28" s="9" t="n">
        <f aca="false">G17-G25</f>
        <v>312770.5</v>
      </c>
      <c r="H28" s="9" t="n">
        <f aca="false">H17-H25</f>
        <v>664168.5</v>
      </c>
      <c r="I28" s="9" t="n">
        <f aca="false">I17-I25</f>
        <v>1068919.7</v>
      </c>
      <c r="J28" s="9" t="n">
        <f aca="false">J17-J25</f>
        <v>1366573</v>
      </c>
      <c r="K28" s="9" t="n">
        <f aca="false">K17-K25</f>
        <v>1580843.3</v>
      </c>
      <c r="L28" s="9" t="n">
        <f aca="false">L17-L25</f>
        <v>1750755.7</v>
      </c>
      <c r="M28" s="9" t="n">
        <f aca="false">M17-M25</f>
        <v>1871820</v>
      </c>
      <c r="N28" s="9" t="n">
        <f aca="false">SUM(B28:M28)</f>
        <v>7171884.8</v>
      </c>
    </row>
    <row r="29" customFormat="false" ht="15" hidden="false" customHeight="false" outlineLevel="0" collapsed="false">
      <c r="A29" s="2" t="s">
        <v>132</v>
      </c>
      <c r="B29" s="15" t="n">
        <f aca="false">B28</f>
        <v>-540657</v>
      </c>
      <c r="C29" s="15" t="n">
        <f aca="false">B29+C28</f>
        <v>-990294.4</v>
      </c>
      <c r="D29" s="15" t="n">
        <f aca="false">C29+D28</f>
        <v>-1303402.4</v>
      </c>
      <c r="E29" s="15" t="n">
        <f aca="false">D29+E28</f>
        <v>-1495804.4</v>
      </c>
      <c r="F29" s="15" t="n">
        <f aca="false">E29+F28</f>
        <v>-1443965.9</v>
      </c>
      <c r="G29" s="15" t="n">
        <f aca="false">F29+G28</f>
        <v>-1131195.4</v>
      </c>
      <c r="H29" s="15" t="n">
        <f aca="false">G29+H28</f>
        <v>-467026.9</v>
      </c>
      <c r="I29" s="15" t="n">
        <f aca="false">H29+I28</f>
        <v>601892.8</v>
      </c>
      <c r="J29" s="15" t="n">
        <f aca="false">I29+J28</f>
        <v>1968465.8</v>
      </c>
      <c r="K29" s="15" t="n">
        <f aca="false">J29+K28</f>
        <v>3549309.1</v>
      </c>
      <c r="L29" s="15" t="n">
        <f aca="false">K29+L28</f>
        <v>5300064.8</v>
      </c>
      <c r="M29" s="15" t="n">
        <f aca="false">L29+M28</f>
        <v>7171884.8</v>
      </c>
    </row>
  </sheetData>
  <mergeCells count="5">
    <mergeCell ref="A1:N1"/>
    <mergeCell ref="A5:N5"/>
    <mergeCell ref="A11:N11"/>
    <mergeCell ref="A19:N19"/>
    <mergeCell ref="A27:N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4" t="s">
        <v>133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8" t="s">
        <v>134</v>
      </c>
    </row>
    <row r="4" customFormat="false" ht="15" hidden="false" customHeight="false" outlineLevel="0" collapsed="false">
      <c r="A4" s="14" t="s">
        <v>135</v>
      </c>
      <c r="B4" s="14" t="s">
        <v>136</v>
      </c>
      <c r="C4" s="14" t="s">
        <v>137</v>
      </c>
      <c r="D4" s="14" t="s">
        <v>138</v>
      </c>
      <c r="E4" s="14" t="s">
        <v>139</v>
      </c>
      <c r="F4" s="14" t="s">
        <v>140</v>
      </c>
    </row>
    <row r="5" customFormat="false" ht="22.35" hidden="false" customHeight="false" outlineLevel="0" collapsed="false">
      <c r="A5" s="2" t="s">
        <v>141</v>
      </c>
      <c r="B5" s="2" t="s">
        <v>142</v>
      </c>
      <c r="C5" s="19" t="s">
        <v>143</v>
      </c>
      <c r="D5" s="19" t="s">
        <v>144</v>
      </c>
      <c r="E5" s="9" t="n">
        <f aca="false">(0.12-0.03)*Projection!M6*Assumptions!B20</f>
        <v>906750</v>
      </c>
      <c r="F5" s="20" t="s">
        <v>145</v>
      </c>
    </row>
    <row r="6" customFormat="false" ht="15" hidden="false" customHeight="false" outlineLevel="0" collapsed="false">
      <c r="A6" s="2" t="s">
        <v>53</v>
      </c>
      <c r="B6" s="2" t="s">
        <v>146</v>
      </c>
      <c r="C6" s="19" t="s">
        <v>147</v>
      </c>
      <c r="D6" s="19" t="s">
        <v>148</v>
      </c>
      <c r="E6" s="9" t="n">
        <f aca="false">(1.2-0.3)*Projection!M9*Assumptions!B33*Assumptions!B24</f>
        <v>1614600</v>
      </c>
      <c r="F6" s="20" t="s">
        <v>149</v>
      </c>
    </row>
    <row r="7" customFormat="false" ht="15" hidden="false" customHeight="false" outlineLevel="0" collapsed="false">
      <c r="A7" s="2" t="s">
        <v>54</v>
      </c>
      <c r="B7" s="2" t="s">
        <v>150</v>
      </c>
      <c r="C7" s="19" t="s">
        <v>151</v>
      </c>
      <c r="D7" s="19" t="s">
        <v>152</v>
      </c>
      <c r="E7" s="9" t="n">
        <f aca="false">(6-2)*Projection!M8*Assumptions!B36*Assumptions!B24</f>
        <v>693600</v>
      </c>
      <c r="F7" s="20" t="s">
        <v>153</v>
      </c>
    </row>
    <row r="8" customFormat="false" ht="15" hidden="false" customHeight="false" outlineLevel="0" collapsed="false">
      <c r="A8" s="2" t="s">
        <v>154</v>
      </c>
      <c r="B8" s="2" t="s">
        <v>155</v>
      </c>
      <c r="C8" s="19" t="s">
        <v>156</v>
      </c>
      <c r="D8" s="19" t="s">
        <v>157</v>
      </c>
      <c r="E8" s="9" t="n">
        <f aca="false">((8000-2500)/Projection!M6)*(Projection!M12+Projection!M16)</f>
        <v>3030940</v>
      </c>
      <c r="F8" s="20" t="s">
        <v>158</v>
      </c>
    </row>
    <row r="9" customFormat="false" ht="15" hidden="false" customHeight="false" outlineLevel="0" collapsed="false">
      <c r="A9" s="2" t="s">
        <v>159</v>
      </c>
      <c r="B9" s="2" t="s">
        <v>160</v>
      </c>
      <c r="C9" s="19" t="s">
        <v>161</v>
      </c>
      <c r="D9" s="19" t="s">
        <v>162</v>
      </c>
      <c r="E9" s="9" t="n">
        <f aca="false">-(100-25)*Assumptions!B40</f>
        <v>-675000</v>
      </c>
      <c r="F9" s="20" t="s">
        <v>163</v>
      </c>
    </row>
    <row r="10" customFormat="false" ht="15" hidden="false" customHeight="false" outlineLevel="0" collapsed="false">
      <c r="A10" s="2" t="s">
        <v>68</v>
      </c>
      <c r="B10" s="2" t="s">
        <v>144</v>
      </c>
      <c r="C10" s="19" t="s">
        <v>164</v>
      </c>
      <c r="D10" s="19" t="s">
        <v>165</v>
      </c>
      <c r="E10" s="9" t="n">
        <f aca="false">-(0.2-0.05)*(Projection!M12+Projection!M16)</f>
        <v>-413310</v>
      </c>
      <c r="F10" s="20" t="s">
        <v>166</v>
      </c>
    </row>
    <row r="13" customFormat="false" ht="19.7" hidden="false" customHeight="false" outlineLevel="0" collapsed="false">
      <c r="A13" s="4" t="s">
        <v>167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8" t="s">
        <v>168</v>
      </c>
    </row>
    <row r="16" customFormat="false" ht="15" hidden="false" customHeight="false" outlineLevel="0" collapsed="false">
      <c r="A16" s="2" t="s">
        <v>169</v>
      </c>
      <c r="B16" s="15" t="n">
        <f aca="false">Assumptions!B41*Assumptions!B40+Assumptions!B42+Assumptions!B43+100000</f>
        <v>687500</v>
      </c>
    </row>
    <row r="17" customFormat="false" ht="15" hidden="false" customHeight="false" outlineLevel="0" collapsed="false">
      <c r="A17" s="2" t="s">
        <v>170</v>
      </c>
      <c r="B17" s="15" t="n">
        <f aca="false">Assumptions!B28*Assumptions!B33*Assumptions!B24*(1-Assumptions!B39)</f>
        <v>267.54</v>
      </c>
    </row>
    <row r="18" customFormat="false" ht="15" hidden="false" customHeight="false" outlineLevel="0" collapsed="false">
      <c r="A18" s="2" t="s">
        <v>171</v>
      </c>
      <c r="B18" s="15" t="n">
        <f aca="false">Assumptions!B20+Assumptions!B29*Assumptions!B36*Assumptions!B24-(Assumptions!B20+Assumptions!B29*Assumptions!B36)*Assumptions!B39</f>
        <v>3593.1</v>
      </c>
    </row>
    <row r="19" customFormat="false" ht="15" hidden="false" customHeight="false" outlineLevel="0" collapsed="false">
      <c r="A19" s="2" t="s">
        <v>172</v>
      </c>
      <c r="B19" s="10" t="n">
        <v>0.07</v>
      </c>
    </row>
    <row r="20" customFormat="false" ht="15" hidden="false" customHeight="false" outlineLevel="0" collapsed="false">
      <c r="A20" s="2" t="s">
        <v>173</v>
      </c>
      <c r="B20" s="15" t="n">
        <f aca="false">B17*(1-B19)+B18*B19</f>
        <v>500.3292</v>
      </c>
    </row>
    <row r="21" customFormat="false" ht="15" hidden="false" customHeight="false" outlineLevel="0" collapsed="false">
      <c r="A21" s="3" t="s">
        <v>174</v>
      </c>
      <c r="B21" s="21" t="n">
        <f aca="false">IFERROR(ROUND(B16/B20,0),0)</f>
        <v>1374</v>
      </c>
    </row>
    <row r="22" customFormat="false" ht="15" hidden="false" customHeight="false" outlineLevel="0" collapsed="false">
      <c r="A22" s="3" t="s">
        <v>175</v>
      </c>
      <c r="B22" s="21" t="n">
        <f aca="false">ROUND(B21*B19,0)</f>
        <v>96</v>
      </c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4" t="s">
        <v>176</v>
      </c>
      <c r="B1" s="4"/>
      <c r="C1" s="4"/>
      <c r="D1" s="4"/>
    </row>
    <row r="2" customFormat="false" ht="15" hidden="false" customHeight="false" outlineLevel="0" collapsed="false">
      <c r="A2" s="8" t="s">
        <v>177</v>
      </c>
    </row>
    <row r="4" customFormat="false" ht="15" hidden="false" customHeight="false" outlineLevel="0" collapsed="false">
      <c r="A4" s="14" t="s">
        <v>178</v>
      </c>
      <c r="B4" s="14" t="s">
        <v>179</v>
      </c>
      <c r="C4" s="14" t="s">
        <v>136</v>
      </c>
      <c r="D4" s="14" t="s">
        <v>180</v>
      </c>
    </row>
    <row r="5" customFormat="false" ht="15" hidden="false" customHeight="false" outlineLevel="0" collapsed="false">
      <c r="A5" s="2" t="s">
        <v>154</v>
      </c>
      <c r="B5" s="7" t="n">
        <v>2500</v>
      </c>
      <c r="C5" s="7" t="n">
        <v>5000</v>
      </c>
      <c r="D5" s="7" t="n">
        <v>8000</v>
      </c>
    </row>
    <row r="6" customFormat="false" ht="15" hidden="false" customHeight="false" outlineLevel="0" collapsed="false">
      <c r="A6" s="2" t="s">
        <v>141</v>
      </c>
      <c r="B6" s="10" t="n">
        <v>0.05</v>
      </c>
      <c r="C6" s="10" t="n">
        <v>0.08</v>
      </c>
      <c r="D6" s="10" t="n">
        <v>0.12</v>
      </c>
    </row>
    <row r="7" customFormat="false" ht="15" hidden="false" customHeight="false" outlineLevel="0" collapsed="false">
      <c r="A7" s="2" t="s">
        <v>53</v>
      </c>
      <c r="B7" s="12" t="n">
        <v>0.4</v>
      </c>
      <c r="C7" s="12" t="n">
        <v>0.7</v>
      </c>
      <c r="D7" s="12" t="n">
        <v>1</v>
      </c>
    </row>
    <row r="8" customFormat="false" ht="15" hidden="false" customHeight="false" outlineLevel="0" collapsed="false">
      <c r="A8" s="2" t="s">
        <v>54</v>
      </c>
      <c r="B8" s="12" t="n">
        <v>3</v>
      </c>
      <c r="C8" s="12" t="n">
        <v>4</v>
      </c>
      <c r="D8" s="12" t="n">
        <v>5</v>
      </c>
    </row>
    <row r="10" customFormat="false" ht="15" hidden="false" customHeight="false" outlineLevel="0" collapsed="false">
      <c r="A10" s="2" t="s">
        <v>115</v>
      </c>
      <c r="B10" s="18" t="n">
        <f aca="false">ROUND(B5*B6,0)</f>
        <v>125</v>
      </c>
      <c r="C10" s="18" t="n">
        <f aca="false">ROUND(C5*C6,0)</f>
        <v>400</v>
      </c>
      <c r="D10" s="18" t="n">
        <f aca="false">ROUND(D5*D6,0)</f>
        <v>960</v>
      </c>
    </row>
    <row r="11" customFormat="false" ht="15" hidden="false" customHeight="false" outlineLevel="0" collapsed="false">
      <c r="A11" s="2" t="s">
        <v>116</v>
      </c>
      <c r="B11" s="18" t="n">
        <f aca="false">B5-B10</f>
        <v>2375</v>
      </c>
      <c r="C11" s="18" t="n">
        <f aca="false">C5-C10</f>
        <v>4600</v>
      </c>
      <c r="D11" s="18" t="n">
        <f aca="false">D5-D10</f>
        <v>7040</v>
      </c>
    </row>
    <row r="12" customFormat="false" ht="15" hidden="false" customHeight="false" outlineLevel="0" collapsed="false">
      <c r="A12" s="2" t="s">
        <v>181</v>
      </c>
      <c r="B12" s="15" t="n">
        <f aca="false">B10*Assumptions!B20</f>
        <v>251875</v>
      </c>
      <c r="C12" s="15" t="n">
        <f aca="false">C10*Assumptions!B20</f>
        <v>806000</v>
      </c>
      <c r="D12" s="15" t="n">
        <f aca="false">D10*Assumptions!B20</f>
        <v>1934400</v>
      </c>
    </row>
    <row r="13" customFormat="false" ht="15" hidden="false" customHeight="false" outlineLevel="0" collapsed="false">
      <c r="A13" s="2" t="s">
        <v>182</v>
      </c>
      <c r="B13" s="15" t="n">
        <f aca="false">B11*B7*Assumptions!B33+B10*B8*Assumptions!B36</f>
        <v>1776875</v>
      </c>
      <c r="C13" s="15" t="n">
        <f aca="false">C11*C7*Assumptions!B33+C10*C8*Assumptions!B36</f>
        <v>6498000</v>
      </c>
      <c r="D13" s="15" t="n">
        <f aca="false">D11*D7*Assumptions!B33+D10*D8*Assumptions!B36</f>
        <v>16088000</v>
      </c>
    </row>
    <row r="14" customFormat="false" ht="15" hidden="false" customHeight="false" outlineLevel="0" collapsed="false">
      <c r="A14" s="2" t="s">
        <v>183</v>
      </c>
      <c r="B14" s="15" t="n">
        <f aca="false">B13*Assumptions!B24</f>
        <v>533062.5</v>
      </c>
      <c r="C14" s="15" t="n">
        <f aca="false">C13*Assumptions!B24</f>
        <v>1949400</v>
      </c>
      <c r="D14" s="15" t="n">
        <f aca="false">D13*Assumptions!B24</f>
        <v>4826400</v>
      </c>
    </row>
    <row r="15" customFormat="false" ht="15" hidden="false" customHeight="false" outlineLevel="0" collapsed="false">
      <c r="A15" s="3" t="s">
        <v>184</v>
      </c>
      <c r="B15" s="9" t="n">
        <f aca="false">B12+B14</f>
        <v>784937.5</v>
      </c>
      <c r="C15" s="9" t="n">
        <f aca="false">C12+C14</f>
        <v>2755400</v>
      </c>
      <c r="D15" s="9" t="n">
        <f aca="false">D12+D14</f>
        <v>6760800</v>
      </c>
    </row>
    <row r="16" customFormat="false" ht="15" hidden="false" customHeight="false" outlineLevel="0" collapsed="false">
      <c r="A16" s="2" t="s">
        <v>185</v>
      </c>
      <c r="B16" s="15" t="n">
        <f aca="false">(B12+B13)*Assumptions!B39+Assumptions!B41*Assumptions!B40+Assumptions!B42+Assumptions!B43+150000</f>
        <v>778075</v>
      </c>
      <c r="C16" s="15" t="n">
        <f aca="false">(C12+C13)*Assumptions!B39+Assumptions!B41*Assumptions!B40+Assumptions!B42+Assumptions!B43+150000</f>
        <v>883580</v>
      </c>
      <c r="D16" s="15" t="n">
        <f aca="false">(D12+D13)*Assumptions!B39+Assumptions!B41*Assumptions!B40+Assumptions!B42+Assumptions!B43+150000</f>
        <v>1097948</v>
      </c>
    </row>
    <row r="17" customFormat="false" ht="15" hidden="false" customHeight="false" outlineLevel="0" collapsed="false">
      <c r="A17" s="3" t="s">
        <v>186</v>
      </c>
      <c r="B17" s="9" t="n">
        <f aca="false">B15-B16</f>
        <v>6862.50000000012</v>
      </c>
      <c r="C17" s="9" t="n">
        <f aca="false">C15-C16</f>
        <v>1871820</v>
      </c>
      <c r="D17" s="9" t="n">
        <f aca="false">D15-D16</f>
        <v>5662852</v>
      </c>
    </row>
    <row r="18" customFormat="false" ht="15" hidden="false" customHeight="false" outlineLevel="0" collapsed="false">
      <c r="A18" s="2" t="s">
        <v>187</v>
      </c>
      <c r="B18" s="22" t="n">
        <f aca="false">B17/Assumptions!B5</f>
        <v>4.57500000000008</v>
      </c>
      <c r="C18" s="22" t="n">
        <f aca="false">C17/Assumptions!B5</f>
        <v>1247.88</v>
      </c>
      <c r="D18" s="22" t="n">
        <f aca="false">D17/Assumptions!B5</f>
        <v>3775.23466666667</v>
      </c>
    </row>
    <row r="20" customFormat="false" ht="19.7" hidden="false" customHeight="false" outlineLevel="0" collapsed="false">
      <c r="A20" s="4" t="s">
        <v>188</v>
      </c>
      <c r="B20" s="4"/>
      <c r="C20" s="4"/>
      <c r="D20" s="4"/>
    </row>
    <row r="21" customFormat="false" ht="15" hidden="false" customHeight="false" outlineLevel="0" collapsed="false">
      <c r="A21" s="5" t="s">
        <v>189</v>
      </c>
      <c r="B21" s="5"/>
      <c r="C21" s="5"/>
      <c r="D21" s="5"/>
    </row>
    <row r="22" customFormat="false" ht="15" hidden="false" customHeight="false" outlineLevel="0" collapsed="false">
      <c r="A22" s="5" t="s">
        <v>190</v>
      </c>
      <c r="B22" s="5"/>
      <c r="C22" s="5"/>
      <c r="D22" s="5"/>
    </row>
    <row r="23" customFormat="false" ht="15" hidden="false" customHeight="false" outlineLevel="0" collapsed="false">
      <c r="A23" s="5" t="s">
        <v>191</v>
      </c>
      <c r="B23" s="5"/>
      <c r="C23" s="5"/>
      <c r="D23" s="5"/>
    </row>
    <row r="24" customFormat="false" ht="15" hidden="false" customHeight="false" outlineLevel="0" collapsed="false">
      <c r="A24" s="5"/>
      <c r="B24" s="5"/>
      <c r="C24" s="5"/>
      <c r="D24" s="5"/>
    </row>
    <row r="25" customFormat="false" ht="15" hidden="false" customHeight="false" outlineLevel="0" collapsed="false">
      <c r="A25" s="5" t="s">
        <v>192</v>
      </c>
      <c r="B25" s="5"/>
      <c r="C25" s="5"/>
      <c r="D25" s="5"/>
    </row>
    <row r="26" customFormat="false" ht="15" hidden="false" customHeight="false" outlineLevel="0" collapsed="false">
      <c r="A26" s="5" t="s">
        <v>193</v>
      </c>
      <c r="B26" s="5"/>
      <c r="C26" s="5"/>
      <c r="D26" s="5"/>
    </row>
  </sheetData>
  <mergeCells count="8">
    <mergeCell ref="A1:D1"/>
    <mergeCell ref="A20:D20"/>
    <mergeCell ref="A21:D21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2026-07-17T23:35:02Z</dcterms:created>
  <dc:creator>openpyxl</dc:creator>
  <dc:description/>
  <dc:language>en-US</dc:language>
  <cp:lastModifiedBy/>
  <dcterms:modified xsi:type="dcterms:W3CDTF">2026-07-17T23:35:02Z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